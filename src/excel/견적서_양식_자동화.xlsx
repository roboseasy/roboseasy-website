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견적서" sheetId="1" r:id="rId4"/>
    <sheet state="hidden" name="품목목록" sheetId="2" r:id="rId5"/>
  </sheets>
  <definedNames/>
  <calcPr/>
  <extLst>
    <ext uri="GoogleSheetsCustomDataVersion2">
      <go:sheetsCustomData xmlns:go="http://customooxmlschemas.google.com/" r:id="rId6" roundtripDataChecksum="n+LU2RQVB4OYPZYh2OMUNhqCuC+bpYAx2yENvdNFWjs="/>
    </ext>
  </extLst>
</workbook>
</file>

<file path=xl/sharedStrings.xml><?xml version="1.0" encoding="utf-8"?>
<sst xmlns="http://schemas.openxmlformats.org/spreadsheetml/2006/main" count="52" uniqueCount="47">
  <si>
    <t>견   적   서</t>
  </si>
  <si>
    <t>견적번호</t>
  </si>
  <si>
    <t>회사명</t>
  </si>
  <si>
    <t>로보시지 RoboSEasy</t>
  </si>
  <si>
    <t>업체명</t>
  </si>
  <si>
    <t>사업자</t>
  </si>
  <si>
    <t>173-44-01316</t>
  </si>
  <si>
    <t>담당자</t>
  </si>
  <si>
    <t>김현우</t>
  </si>
  <si>
    <t>연락처</t>
  </si>
  <si>
    <t>010-7236-1195</t>
  </si>
  <si>
    <t>이메일</t>
  </si>
  <si>
    <t>roboseasy@gmail.com</t>
  </si>
  <si>
    <t>배송 주소</t>
  </si>
  <si>
    <r>
      <rPr>
        <rFont val="맑은 고딕"/>
        <i/>
        <color theme="1"/>
        <sz val="10.0"/>
      </rPr>
      <t xml:space="preserve">1. </t>
    </r>
    <r>
      <rPr>
        <rFont val="Noto Sans CJK SC"/>
        <i/>
        <color theme="1"/>
        <sz val="10.0"/>
      </rPr>
      <t>하기와 같이 견적 드리오니 검토 바랍니다</t>
    </r>
    <r>
      <rPr>
        <rFont val="맑은 고딕"/>
        <i/>
        <color theme="1"/>
        <sz val="10.0"/>
      </rPr>
      <t xml:space="preserve">.    2. </t>
    </r>
    <r>
      <rPr>
        <rFont val="Noto Sans CJK SC"/>
        <i/>
        <color theme="1"/>
        <sz val="10.0"/>
      </rPr>
      <t xml:space="preserve">본 견적서의 유효기간은 견적일로부터 </t>
    </r>
    <r>
      <rPr>
        <rFont val="맑은 고딕"/>
        <i/>
        <color theme="1"/>
        <sz val="10.0"/>
      </rPr>
      <t>7</t>
    </r>
    <r>
      <rPr>
        <rFont val="Noto Sans CJK SC"/>
        <i/>
        <color theme="1"/>
        <sz val="10.0"/>
      </rPr>
      <t>일입니다</t>
    </r>
    <r>
      <rPr>
        <rFont val="맑은 고딕"/>
        <i/>
        <color theme="1"/>
        <sz val="10.0"/>
      </rPr>
      <t>.</t>
    </r>
  </si>
  <si>
    <t>Total</t>
  </si>
  <si>
    <t>No.</t>
  </si>
  <si>
    <t>품목</t>
  </si>
  <si>
    <t>수량</t>
  </si>
  <si>
    <t>단가</t>
  </si>
  <si>
    <t>공급가액</t>
  </si>
  <si>
    <t>부가세</t>
  </si>
  <si>
    <t>비고</t>
  </si>
  <si>
    <t>※ 일의 자리에서 반올림</t>
  </si>
  <si>
    <t>공급가액계</t>
  </si>
  <si>
    <t>부가세계</t>
  </si>
  <si>
    <t>합계</t>
  </si>
  <si>
    <t>할인 금액</t>
  </si>
  <si>
    <t>최종 견적</t>
  </si>
  <si>
    <t xml:space="preserve">A-Ba(SO-ARM101) Max</t>
  </si>
  <si>
    <r>
      <rPr>
        <rFont val="맑은 고딕"/>
        <color theme="1"/>
        <sz val="10.0"/>
      </rPr>
      <t xml:space="preserve">Top </t>
    </r>
    <r>
      <rPr>
        <rFont val="Noto Sans CJK SC"/>
        <color theme="1"/>
        <sz val="10.0"/>
      </rPr>
      <t xml:space="preserve">카메라홀더 </t>
    </r>
    <r>
      <rPr>
        <rFont val="맑은 고딕"/>
        <color theme="1"/>
        <sz val="10.0"/>
      </rPr>
      <t xml:space="preserve">+ </t>
    </r>
    <r>
      <rPr>
        <rFont val="Noto Sans CJK SC"/>
        <color theme="1"/>
        <sz val="10.0"/>
      </rPr>
      <t xml:space="preserve">카메라모듈 </t>
    </r>
    <r>
      <rPr>
        <rFont val="맑은 고딕"/>
        <color theme="1"/>
        <sz val="10.0"/>
      </rPr>
      <t xml:space="preserve">+ </t>
    </r>
    <r>
      <rPr>
        <rFont val="Noto Sans CJK SC"/>
        <color theme="1"/>
        <sz val="10.0"/>
      </rPr>
      <t>셀카봉</t>
    </r>
  </si>
  <si>
    <r>
      <rPr>
        <rFont val="맑은 고딕"/>
        <color theme="1"/>
        <sz val="10.0"/>
      </rPr>
      <t xml:space="preserve">Wrist </t>
    </r>
    <r>
      <rPr>
        <rFont val="Noto Sans CJK SC"/>
        <color theme="1"/>
        <sz val="10.0"/>
      </rPr>
      <t xml:space="preserve">카메라홀더 </t>
    </r>
    <r>
      <rPr>
        <rFont val="맑은 고딕"/>
        <color theme="1"/>
        <sz val="10.0"/>
      </rPr>
      <t xml:space="preserve">+ </t>
    </r>
    <r>
      <rPr>
        <rFont val="Noto Sans CJK SC"/>
        <color theme="1"/>
        <sz val="10.0"/>
      </rPr>
      <t>카메라모듈</t>
    </r>
  </si>
  <si>
    <r>
      <rPr>
        <rFont val="맑은 고딕"/>
        <color theme="1"/>
        <sz val="10.0"/>
      </rPr>
      <t xml:space="preserve">Belly </t>
    </r>
    <r>
      <rPr>
        <rFont val="Noto Sans CJK SC"/>
        <color theme="1"/>
        <sz val="10.0"/>
      </rPr>
      <t xml:space="preserve">카메라홀더 </t>
    </r>
    <r>
      <rPr>
        <rFont val="맑은 고딕"/>
        <color theme="1"/>
        <sz val="10.0"/>
      </rPr>
      <t xml:space="preserve">+ </t>
    </r>
    <r>
      <rPr>
        <rFont val="Noto Sans CJK SC"/>
        <color theme="1"/>
        <sz val="10.0"/>
      </rPr>
      <t>카메라모듈</t>
    </r>
  </si>
  <si>
    <r>
      <rPr>
        <rFont val="Noto Sans CJK SC"/>
        <color theme="1"/>
        <sz val="10.0"/>
      </rPr>
      <t xml:space="preserve">고급형 클램프 </t>
    </r>
    <r>
      <rPr>
        <rFont val="맑은 고딕"/>
        <color theme="1"/>
        <sz val="10.0"/>
      </rPr>
      <t>4pcs</t>
    </r>
  </si>
  <si>
    <t xml:space="preserve">A-Ba(SO-ARM101) Open Gripper</t>
  </si>
  <si>
    <t xml:space="preserve">A-Ba(SO-ARM101) Max - 서보 모터 STS3215 (7.4v/19kg)</t>
  </si>
  <si>
    <t xml:space="preserve">A-Ba(SO-ARM101) Max - 서보 모터 STS3215 (12v/30kg)</t>
  </si>
  <si>
    <t xml:space="preserve">Dual A-Ba(Dual SO-ARM) (Only Bridge)</t>
  </si>
  <si>
    <t xml:space="preserve">Dual A-Ba(Dual SO-ARM) Full Set</t>
  </si>
  <si>
    <t xml:space="preserve">A-Ba(SO-ARM101) Max - 3D 프린팅 부품 제외</t>
  </si>
  <si>
    <t xml:space="preserve">A-Ba(SO-ARM101) Max - 3D 프린팅 부품</t>
  </si>
  <si>
    <r>
      <rPr>
        <rFont val="Noto Sans CJK SC"/>
        <color theme="1"/>
        <sz val="10.0"/>
      </rPr>
      <t xml:space="preserve">리더암 모터 세트 </t>
    </r>
    <r>
      <rPr>
        <rFont val="맑은 고딕"/>
        <color theme="1"/>
        <sz val="10.0"/>
      </rPr>
      <t>(7.4v/19kg)</t>
    </r>
  </si>
  <si>
    <r>
      <rPr>
        <rFont val="Noto Sans CJK SC"/>
        <color theme="1"/>
        <sz val="10.0"/>
      </rPr>
      <t xml:space="preserve">팔로워암 모터 세트 </t>
    </r>
    <r>
      <rPr>
        <rFont val="맑은 고딕"/>
        <color theme="1"/>
        <sz val="10.0"/>
      </rPr>
      <t>(12v/30kg)</t>
    </r>
  </si>
  <si>
    <t>모터드라이브 모듈</t>
  </si>
  <si>
    <t>전원 어댑터</t>
  </si>
  <si>
    <r>
      <rPr>
        <rFont val="맑은 고딕"/>
        <color theme="1"/>
        <sz val="10.0"/>
      </rPr>
      <t xml:space="preserve">USB to C </t>
    </r>
    <r>
      <rPr>
        <rFont val="Noto Sans CJK SC"/>
        <color theme="1"/>
        <sz val="10.0"/>
      </rPr>
      <t>케이블</t>
    </r>
  </si>
  <si>
    <t>조립서비스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</si>
</sst>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sz val="11.0"/>
      <color theme="1"/>
      <name val="Calibri"/>
    </font>
    <font>
      <b/>
      <sz val="24.0"/>
      <color theme="1"/>
      <name val="Noto Sans"/>
    </font>
    <font>
      <b/>
      <sz val="10.0"/>
      <color theme="1"/>
      <name val="Noto Sans"/>
    </font>
    <font>
      <sz val="10.0"/>
      <color theme="1"/>
      <name val="Malgun Gothic"/>
    </font>
    <font/>
    <font>
      <sz val="10.0"/>
      <color theme="1"/>
      <name val="Noto Sans"/>
    </font>
    <font>
      <b/>
      <sz val="10.0"/>
      <color rgb="FF000000"/>
      <name val="Malgun Gothic"/>
    </font>
    <font>
      <i/>
      <sz val="10.0"/>
      <color theme="1"/>
      <name val="Malgun Gothic"/>
    </font>
    <font>
      <b/>
      <sz val="14.0"/>
      <color theme="1"/>
      <name val="Malgun Gothic"/>
    </font>
    <font>
      <b/>
      <sz val="14.0"/>
      <color rgb="FFC00000"/>
      <name val="Malgun Gothic"/>
    </font>
    <font>
      <b/>
      <sz val="10.0"/>
      <color rgb="FFFFFFFF"/>
      <name val="Malgun Gothic"/>
    </font>
    <font>
      <b/>
      <sz val="10.0"/>
      <color rgb="FFFFFFFF"/>
      <name val="Noto Sans"/>
    </font>
    <font>
      <i/>
      <sz val="9.0"/>
      <color rgb="FF7F7F7F"/>
      <name val="Noto Sans"/>
    </font>
    <font>
      <b/>
      <sz val="12.0"/>
      <color rgb="FFC00000"/>
      <name val="Noto Sans"/>
    </font>
    <font>
      <b/>
      <sz val="12.0"/>
      <color rgb="FFC00000"/>
      <name val="Malgun Gothic"/>
    </font>
    <font>
      <b/>
      <sz val="11.0"/>
      <color rgb="FFFFFFFF"/>
      <name val="Noto Sans"/>
    </font>
  </fonts>
  <fills count="5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4472C4"/>
        <bgColor rgb="FF4472C4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2" fillId="2" fontId="3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horizontal="left" shrinkToFit="0" vertical="center" wrapText="1"/>
    </xf>
    <xf borderId="4" fillId="2" fontId="7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horizontal="left" shrinkToFit="0" vertical="center" wrapText="1"/>
    </xf>
    <xf borderId="6" fillId="0" fontId="5" numFmtId="0" xfId="0" applyBorder="1" applyFont="1"/>
    <xf borderId="7" fillId="0" fontId="5" numFmtId="0" xfId="0" applyBorder="1" applyFont="1"/>
    <xf borderId="2" fillId="3" fontId="9" numFmtId="0" xfId="0" applyAlignment="1" applyBorder="1" applyFill="1" applyFont="1">
      <alignment horizontal="center" shrinkToFit="0" vertical="center" wrapText="1"/>
    </xf>
    <xf borderId="2" fillId="3" fontId="10" numFmtId="0" xfId="0" applyAlignment="1" applyBorder="1" applyFont="1">
      <alignment horizontal="center" shrinkToFit="0" vertical="center" wrapText="1"/>
    </xf>
    <xf borderId="8" fillId="0" fontId="5" numFmtId="0" xfId="0" applyBorder="1" applyFont="1"/>
    <xf borderId="1" fillId="4" fontId="11" numFmtId="0" xfId="0" applyAlignment="1" applyBorder="1" applyFill="1" applyFont="1">
      <alignment horizontal="center" shrinkToFit="0" vertical="center" wrapText="1"/>
    </xf>
    <xf borderId="1" fillId="4" fontId="12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4" numFmtId="3" xfId="0" applyAlignment="1" applyBorder="1" applyFont="1" applyNumberFormat="1">
      <alignment horizontal="right" vertical="center"/>
    </xf>
    <xf borderId="1" fillId="0" fontId="6" numFmtId="0" xfId="0" applyAlignment="1" applyBorder="1" applyFont="1">
      <alignment horizontal="left" shrinkToFit="0" vertical="center" wrapText="1"/>
    </xf>
    <xf borderId="0" fillId="0" fontId="13" numFmtId="0" xfId="0" applyAlignment="1" applyFont="1">
      <alignment horizontal="right" vertical="center"/>
    </xf>
    <xf borderId="2" fillId="2" fontId="3" numFmtId="0" xfId="0" applyAlignment="1" applyBorder="1" applyFont="1">
      <alignment horizontal="right" vertical="center"/>
    </xf>
    <xf borderId="2" fillId="0" fontId="4" numFmtId="3" xfId="0" applyAlignment="1" applyBorder="1" applyFont="1" applyNumberFormat="1">
      <alignment horizontal="right" vertical="center"/>
    </xf>
    <xf borderId="2" fillId="3" fontId="14" numFmtId="0" xfId="0" applyAlignment="1" applyBorder="1" applyFont="1">
      <alignment horizontal="right" vertical="center"/>
    </xf>
    <xf borderId="2" fillId="3" fontId="15" numFmtId="3" xfId="0" applyAlignment="1" applyBorder="1" applyFont="1" applyNumberFormat="1">
      <alignment horizontal="right" vertical="center"/>
    </xf>
    <xf borderId="9" fillId="4" fontId="16" numFmtId="0" xfId="0" applyAlignment="1" applyBorder="1" applyFont="1">
      <alignment horizontal="center" vertical="center"/>
    </xf>
    <xf borderId="0" fillId="0" fontId="4" numFmtId="0" xfId="0" applyFont="1"/>
    <xf borderId="0" fillId="0" fontId="4" numFmtId="3" xfId="0" applyFont="1" applyNumberForma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200025</xdr:rowOff>
    </xdr:from>
    <xdr:ext cx="657225" cy="704850"/>
    <xdr:pic>
      <xdr:nvPicPr>
        <xdr:cNvPr descr="Picture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3</xdr:row>
      <xdr:rowOff>38100</xdr:rowOff>
    </xdr:from>
    <xdr:ext cx="523875" cy="552450"/>
    <xdr:pic>
      <xdr:nvPicPr>
        <xdr:cNvPr descr="Picture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G26"/>
  <sheetPr>
    <pageSetUpPr fitToPage="1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6.0"/>
    <col customWidth="1" min="3" max="3" width="8.0"/>
    <col customWidth="1" min="4" max="4" width="13.0"/>
    <col customWidth="1" min="5" max="5" width="14.0"/>
    <col customWidth="1" min="6" max="6" width="12.0"/>
    <col customWidth="1" min="7" max="7" width="14.0"/>
    <col customWidth="1" min="8" max="26" width="8.71"/>
  </cols>
  <sheetData>
    <row r="1" ht="18.75" customHeight="1">
      <c r="A1" s="1"/>
      <c r="B1" s="2" t="s">
        <v>0</v>
      </c>
    </row>
    <row r="2" ht="30.0" customHeight="1"/>
    <row r="3" ht="30.0" customHeight="1"/>
    <row r="4" ht="21.75" customHeight="1">
      <c r="A4" s="3" t="s">
        <v>1</v>
      </c>
      <c r="B4" s="4"/>
      <c r="C4" s="5"/>
      <c r="D4" s="6" t="s">
        <v>2</v>
      </c>
      <c r="E4" s="5"/>
      <c r="F4" s="7" t="s">
        <v>3</v>
      </c>
      <c r="G4" s="5"/>
    </row>
    <row r="5" ht="21.75" customHeight="1">
      <c r="A5" s="3" t="s">
        <v>4</v>
      </c>
      <c r="B5" s="4"/>
      <c r="C5" s="5"/>
      <c r="D5" s="6" t="s">
        <v>5</v>
      </c>
      <c r="E5" s="5"/>
      <c r="F5" t="inlineStr" s="8">
        <is>
          <t>836-81-03763</t>
        </is>
      </c>
      <c r="G5" s="5"/>
    </row>
    <row r="6" ht="21.75" customHeight="1">
      <c r="A6" s="3" t="s">
        <v>7</v>
      </c>
      <c r="B6" s="4"/>
      <c r="C6" s="5"/>
      <c r="D6" s="6" t="s">
        <v>7</v>
      </c>
      <c r="E6" s="5"/>
      <c r="F6" s="8" t="s">
        <v>8</v>
      </c>
      <c r="G6" s="5"/>
    </row>
    <row r="7" ht="21.75" customHeight="1">
      <c r="A7" s="3" t="s">
        <v>9</v>
      </c>
      <c r="B7" s="4"/>
      <c r="C7" s="5"/>
      <c r="D7" s="6" t="s">
        <v>9</v>
      </c>
      <c r="E7" s="5"/>
      <c r="F7" s="8" t="s">
        <v>10</v>
      </c>
      <c r="G7" s="5"/>
    </row>
    <row r="8" ht="21.75" customHeight="1">
      <c r="A8" s="3" t="s">
        <v>11</v>
      </c>
      <c r="B8" s="4"/>
      <c r="C8" s="5"/>
      <c r="D8" s="6" t="s">
        <v>11</v>
      </c>
      <c r="E8" s="5"/>
      <c r="F8" s="8" t="s">
        <v>12</v>
      </c>
      <c r="G8" s="5"/>
    </row>
    <row r="9" ht="24.0" customHeight="1">
      <c r="A9" s="9" t="s">
        <v>13</v>
      </c>
      <c r="B9" s="10"/>
      <c r="C9" s="11"/>
      <c r="D9" s="11"/>
      <c r="E9" s="11"/>
      <c r="F9" s="11"/>
      <c r="G9" s="12"/>
    </row>
    <row r="10" ht="24.0" customHeight="1">
      <c r="A10" s="10" t="s">
        <v>14</v>
      </c>
      <c r="B10" s="11"/>
      <c r="C10" s="11"/>
      <c r="D10" s="11"/>
      <c r="E10" s="11"/>
      <c r="F10" s="11"/>
      <c r="G10" s="12"/>
    </row>
    <row r="11" ht="31.5" customHeight="1">
      <c r="A11" s="13" t="s">
        <v>15</v>
      </c>
      <c r="B11" s="5"/>
      <c r="C11" s="14" t="str">
        <f>"₩ "&amp;TEXT(F26,"#,##0")&amp;" (부가세 포함)"</f>
        <v>₩ 0 (부가세 포함)</v>
      </c>
      <c r="D11" s="15"/>
      <c r="E11" s="15"/>
      <c r="F11" s="15"/>
      <c r="G11" s="5"/>
    </row>
    <row r="13" ht="25.5" customHeight="1">
      <c r="A13" s="16" t="s">
        <v>16</v>
      </c>
      <c r="B13" s="17" t="s">
        <v>17</v>
      </c>
      <c r="C13" s="17" t="s">
        <v>18</v>
      </c>
      <c r="D13" s="17" t="s">
        <v>19</v>
      </c>
      <c r="E13" s="17" t="s">
        <v>20</v>
      </c>
      <c r="F13" s="17" t="s">
        <v>21</v>
      </c>
      <c r="G13" s="17" t="s">
        <v>22</v>
      </c>
    </row>
    <row r="14" ht="30.0" customHeight="1">
      <c r="A14" s="18">
        <v>1.0</v>
      </c>
      <c r="B14" s="19"/>
      <c r="C14" s="18"/>
      <c r="D14" s="20" t="str">
        <f>IFERROR(VLOOKUP(B14,'품목목록'!A:B,2,FALSE()),"")</f>
        <v/>
      </c>
      <c r="E14" s="20">
        <f t="shared" ref="E14:E20" si="1">IFERROR(C14*D14,"")</f>
        <v>0</v>
      </c>
      <c r="F14" s="20">
        <f t="shared" ref="F14:F20" si="2">IFERROR(ROUND(E14*0.1,-1),"")</f>
        <v>0</v>
      </c>
      <c r="G14" s="18"/>
    </row>
    <row r="15" ht="30.0" customHeight="1">
      <c r="A15" s="18">
        <v>2.0</v>
      </c>
      <c r="B15" s="19"/>
      <c r="C15" s="18"/>
      <c r="D15" s="20" t="str">
        <f>IFERROR(VLOOKUP(B15,'품목목록'!A:B,2,FALSE()),"")</f>
        <v/>
      </c>
      <c r="E15" s="20">
        <f t="shared" si="1"/>
        <v>0</v>
      </c>
      <c r="F15" s="20">
        <f t="shared" si="2"/>
        <v>0</v>
      </c>
      <c r="G15" s="18"/>
    </row>
    <row r="16" ht="30.0" customHeight="1">
      <c r="A16" s="18">
        <v>3.0</v>
      </c>
      <c r="B16" s="19"/>
      <c r="C16" s="18"/>
      <c r="D16" s="20" t="str">
        <f>IFERROR(VLOOKUP(B16,'품목목록'!A:B,2,FALSE()),"")</f>
        <v/>
      </c>
      <c r="E16" s="20">
        <f t="shared" si="1"/>
        <v>0</v>
      </c>
      <c r="F16" s="20">
        <f t="shared" si="2"/>
        <v>0</v>
      </c>
      <c r="G16" s="18"/>
    </row>
    <row r="17" ht="30.0" customHeight="1">
      <c r="A17" s="18">
        <v>4.0</v>
      </c>
      <c r="B17" s="19"/>
      <c r="C17" s="18"/>
      <c r="D17" s="20" t="str">
        <f>IFERROR(VLOOKUP(B17,'품목목록'!A:B,2,FALSE()),"")</f>
        <v/>
      </c>
      <c r="E17" s="20">
        <f t="shared" si="1"/>
        <v>0</v>
      </c>
      <c r="F17" s="20">
        <f t="shared" si="2"/>
        <v>0</v>
      </c>
      <c r="G17" s="18"/>
    </row>
    <row r="18" ht="30.0" customHeight="1">
      <c r="A18" s="18">
        <v>5.0</v>
      </c>
      <c r="B18" s="21"/>
      <c r="C18" s="18"/>
      <c r="D18" s="20" t="str">
        <f>IFERROR(VLOOKUP(B18,'품목목록'!A:B,2,FALSE()),"")</f>
        <v/>
      </c>
      <c r="E18" s="20">
        <f t="shared" si="1"/>
        <v>0</v>
      </c>
      <c r="F18" s="20">
        <f t="shared" si="2"/>
        <v>0</v>
      </c>
      <c r="G18" s="18"/>
    </row>
    <row r="19" ht="30.0" customHeight="1">
      <c r="A19" s="18">
        <v>6.0</v>
      </c>
      <c r="B19" s="19"/>
      <c r="C19" s="18"/>
      <c r="D19" s="20" t="str">
        <f>IFERROR(VLOOKUP(B19,'품목목록'!A:B,2,FALSE()),"")</f>
        <v/>
      </c>
      <c r="E19" s="20">
        <f t="shared" si="1"/>
        <v>0</v>
      </c>
      <c r="F19" s="20">
        <f t="shared" si="2"/>
        <v>0</v>
      </c>
      <c r="G19" s="18"/>
    </row>
    <row r="20" ht="30.0" customHeight="1">
      <c r="A20" s="18">
        <v>7.0</v>
      </c>
      <c r="B20" s="19"/>
      <c r="C20" s="18"/>
      <c r="D20" s="20" t="str">
        <f>IFERROR(VLOOKUP(B20,'품목목록'!A:B,2,FALSE()),"")</f>
        <v/>
      </c>
      <c r="E20" s="20">
        <f t="shared" si="1"/>
        <v>0</v>
      </c>
      <c r="F20" s="20">
        <f t="shared" si="2"/>
        <v>0</v>
      </c>
      <c r="G20" s="18"/>
    </row>
    <row r="21" ht="18.0" customHeight="1">
      <c r="A21" s="22" t="s">
        <v>23</v>
      </c>
    </row>
    <row r="22" ht="24.0" customHeight="1">
      <c r="A22" s="1"/>
      <c r="D22" s="23" t="s">
        <v>24</v>
      </c>
      <c r="E22" s="5"/>
      <c r="F22" s="24">
        <f>SUM(E14:E20)</f>
        <v>0</v>
      </c>
      <c r="G22" s="5"/>
    </row>
    <row r="23" ht="24.0" customHeight="1">
      <c r="D23" s="23" t="s">
        <v>25</v>
      </c>
      <c r="E23" s="5"/>
      <c r="F23" s="24">
        <f>SUM(F14:F20)</f>
        <v>0</v>
      </c>
      <c r="G23" s="5"/>
    </row>
    <row r="24" ht="24.0" customHeight="1">
      <c r="D24" s="23" t="s">
        <v>26</v>
      </c>
      <c r="E24" s="5"/>
      <c r="F24" s="24">
        <f>F22+F23</f>
        <v>0</v>
      </c>
      <c r="G24" s="5"/>
    </row>
    <row r="25" ht="24.0" customHeight="1">
      <c r="D25" s="23" t="s">
        <v>27</v>
      </c>
      <c r="E25" s="5"/>
      <c r="F25" s="24">
        <v>0.0</v>
      </c>
      <c r="G25" s="5"/>
    </row>
    <row r="26" ht="24.0" customHeight="1">
      <c r="D26" s="25" t="s">
        <v>28</v>
      </c>
      <c r="E26" s="5"/>
      <c r="F26" s="26">
        <f>F24-F25</f>
        <v>0</v>
      </c>
      <c r="G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3">
    <mergeCell ref="A1:A3"/>
    <mergeCell ref="B1:G3"/>
    <mergeCell ref="B4:C4"/>
    <mergeCell ref="D4:E4"/>
    <mergeCell ref="F4:G4"/>
    <mergeCell ref="D5:E5"/>
    <mergeCell ref="F5:G5"/>
    <mergeCell ref="B5:C5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G9"/>
    <mergeCell ref="A10:G10"/>
    <mergeCell ref="A11:B11"/>
    <mergeCell ref="C11:G11"/>
    <mergeCell ref="D24:E24"/>
    <mergeCell ref="D25:E25"/>
    <mergeCell ref="F25:G25"/>
    <mergeCell ref="D26:E26"/>
    <mergeCell ref="F26:G26"/>
    <mergeCell ref="A21:G21"/>
    <mergeCell ref="A22:C26"/>
    <mergeCell ref="D22:E22"/>
    <mergeCell ref="F22:G22"/>
    <mergeCell ref="D23:E23"/>
    <mergeCell ref="F23:G23"/>
    <mergeCell ref="F24:G24"/>
  </mergeCells>
  <dataValidations>
    <dataValidation type="list" allowBlank="1" showInputMessage="1" prompt="품목 선택 - 드롭다운에서 품목을 선택하세요._x000a_단가는 자동으로 입력됩니다." sqref="B14:B20">
      <formula1>'품목목록'!$A$2:$A$19</formula1>
    </dataValidation>
  </dataValidations>
  <printOptions horizontalCentered="1"/>
  <pageMargins bottom="0.5" footer="0.0" header="0.0" left="0.4" right="0.4" top="0.5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0"/>
    <col customWidth="1" min="2" max="2" width="14.0"/>
    <col customWidth="1" min="3" max="26" width="8.71"/>
  </cols>
  <sheetData>
    <row r="1" ht="21.75" customHeight="1">
      <c r="A1" s="27" t="s">
        <v>17</v>
      </c>
      <c r="B1" s="27" t="s">
        <v>19</v>
      </c>
    </row>
    <row r="2">
      <c r="A2" s="28" t="s">
        <v>29</v>
      </c>
      <c r="B2" s="29">
        <v>500000.0</v>
      </c>
    </row>
    <row r="3">
      <c r="A3" s="28" t="s">
        <v>30</v>
      </c>
      <c r="B3" s="29">
        <v>50000.0</v>
      </c>
    </row>
    <row r="4">
      <c r="A4" s="28" t="s">
        <v>31</v>
      </c>
      <c r="B4" s="29">
        <v>40000.0</v>
      </c>
    </row>
    <row r="5">
      <c r="A5" s="28" t="s">
        <v>32</v>
      </c>
      <c r="B5" s="29">
        <v>40000.0</v>
      </c>
    </row>
    <row r="6">
      <c r="A6" s="30" t="s">
        <v>33</v>
      </c>
      <c r="B6" s="29">
        <v>20000.0</v>
      </c>
    </row>
    <row r="7">
      <c r="A7" s="28" t="s">
        <v>34</v>
      </c>
      <c r="B7" s="29">
        <v>70000.0</v>
      </c>
    </row>
    <row r="8">
      <c r="A8" s="28" t="s">
        <v>35</v>
      </c>
      <c r="B8" s="29">
        <v>30000.0</v>
      </c>
    </row>
    <row r="9">
      <c r="A9" s="28" t="s">
        <v>36</v>
      </c>
      <c r="B9" s="29">
        <v>35000.0</v>
      </c>
    </row>
    <row r="10">
      <c r="A10" s="28" t="s">
        <v>37</v>
      </c>
      <c r="B10" s="29">
        <v>230000.0</v>
      </c>
    </row>
    <row r="11">
      <c r="A11" s="28" t="s">
        <v>38</v>
      </c>
      <c r="B11" s="29">
        <v>1230000.0</v>
      </c>
    </row>
    <row r="12">
      <c r="A12" s="28" t="s">
        <v>39</v>
      </c>
      <c r="B12" s="29">
        <v>440000.0</v>
      </c>
    </row>
    <row r="13">
      <c r="A13" s="28" t="s">
        <v>40</v>
      </c>
      <c r="B13" s="29">
        <v>70000.0</v>
      </c>
    </row>
    <row r="14">
      <c r="A14" s="30" t="s">
        <v>41</v>
      </c>
      <c r="B14" s="29">
        <v>180000.0</v>
      </c>
    </row>
    <row r="15">
      <c r="A15" s="30" t="s">
        <v>42</v>
      </c>
      <c r="B15" s="29">
        <v>210000.0</v>
      </c>
    </row>
    <row r="16">
      <c r="A16" s="30" t="s">
        <v>43</v>
      </c>
      <c r="B16" s="29">
        <v>10000.0</v>
      </c>
    </row>
    <row r="17">
      <c r="A17" s="30" t="s">
        <v>44</v>
      </c>
      <c r="B17" s="29">
        <v>10000.0</v>
      </c>
    </row>
    <row r="18">
      <c r="A18" s="28" t="s">
        <v>45</v>
      </c>
      <c r="B18" s="29">
        <v>2000.0</v>
      </c>
    </row>
    <row r="19" ht="15.0" customHeight="1">
      <c r="A19" s="30" t="s">
        <v>46</v>
      </c>
      <c r="B19" s="29">
        <v>90000.0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2026-04-19T06:38:16Z</dcterms:created>
  <dc:creator>openpyxl</dc:creator>
</cp:coreProperties>
</file>