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내 드라이브\[ New RoboSEasy ]\2.영업마케팅\00.견적서및거래명세서\주식회사로보시지_기본양식\"/>
    </mc:Choice>
  </mc:AlternateContent>
  <xr:revisionPtr revIDLastSave="0" documentId="13_ncr:1_{4EA38538-1D0B-40DD-B2F1-37B645BE8280}" xr6:coauthVersionLast="47" xr6:coauthVersionMax="47" xr10:uidLastSave="{00000000-0000-0000-0000-000000000000}"/>
  <bookViews>
    <workbookView xWindow="29580" yWindow="780" windowWidth="21600" windowHeight="11295" tabRatio="500" activeTab="1" xr2:uid="{00000000-000D-0000-FFFF-FFFF00000000}"/>
  </bookViews>
  <sheets>
    <sheet name="견적서" sheetId="4" r:id="rId1"/>
    <sheet name="품목별 구매단가" sheetId="5" r:id="rId2"/>
    <sheet name="품목목록" sheetId="2" state="hidden" r:id="rId3"/>
  </sheets>
  <definedNames>
    <definedName name="_xlnm.Print_Area" localSheetId="0">견적서!$A$1:$H$28</definedName>
    <definedName name="품목">OFFSET('품목별 구매단가'!$A$2,0,0,COUNTA('품목별 구매단가'!$A:$A)-1,1)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5" l="1"/>
  <c r="D13" i="4"/>
  <c r="E13" i="4" s="1"/>
  <c r="F13" i="4" s="1"/>
  <c r="D14" i="4"/>
  <c r="E14" i="4" s="1"/>
  <c r="F14" i="4" s="1"/>
  <c r="D15" i="4"/>
  <c r="E15" i="4" s="1"/>
  <c r="F15" i="4" s="1"/>
  <c r="D16" i="4"/>
  <c r="E16" i="4" s="1"/>
  <c r="F16" i="4" s="1"/>
  <c r="D17" i="4"/>
  <c r="E17" i="4" s="1"/>
  <c r="F17" i="4" s="1"/>
  <c r="D18" i="4"/>
  <c r="E18" i="4" s="1"/>
  <c r="F18" i="4" s="1"/>
  <c r="D19" i="4"/>
  <c r="E19" i="4" s="1"/>
  <c r="F19" i="4" s="1"/>
  <c r="D20" i="4"/>
  <c r="E20" i="4" s="1"/>
  <c r="F20" i="4" s="1"/>
  <c r="C2" i="5"/>
  <c r="C3" i="5"/>
  <c r="C4" i="5"/>
  <c r="C5" i="5"/>
  <c r="C6" i="5"/>
  <c r="C7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F24" i="4" l="1"/>
  <c r="F23" i="4"/>
  <c r="F25" i="4" l="1"/>
  <c r="F27" i="4" s="1"/>
  <c r="C10" i="4" s="1"/>
</calcChain>
</file>

<file path=xl/sharedStrings.xml><?xml version="1.0" encoding="utf-8"?>
<sst xmlns="http://schemas.openxmlformats.org/spreadsheetml/2006/main" count="78" uniqueCount="72">
  <si>
    <t>견   적   서</t>
  </si>
  <si>
    <t>견적번호</t>
  </si>
  <si>
    <t>회사명</t>
  </si>
  <si>
    <t>업체명</t>
  </si>
  <si>
    <t>사업자</t>
  </si>
  <si>
    <t>담당자</t>
  </si>
  <si>
    <t>연락처</t>
  </si>
  <si>
    <t>이메일</t>
  </si>
  <si>
    <t>roboseasy@gmail.com</t>
  </si>
  <si>
    <t>Total</t>
  </si>
  <si>
    <t>No.</t>
  </si>
  <si>
    <t>품목</t>
  </si>
  <si>
    <t>수량</t>
  </si>
  <si>
    <t>단가</t>
  </si>
  <si>
    <t>공급가액</t>
  </si>
  <si>
    <t>부가세</t>
  </si>
  <si>
    <t>비고</t>
  </si>
  <si>
    <t>※ 일의 자리에서 반올림</t>
  </si>
  <si>
    <t>공급가액계</t>
  </si>
  <si>
    <t>부가세계</t>
  </si>
  <si>
    <t>최종 견적</t>
  </si>
  <si>
    <t>LeRobot SO-ARM 101 Max</t>
  </si>
  <si>
    <r>
      <rPr>
        <sz val="10"/>
        <rFont val="맑은 고딕"/>
        <family val="3"/>
        <charset val="129"/>
      </rPr>
      <t xml:space="preserve">Top </t>
    </r>
    <r>
      <rPr>
        <sz val="10"/>
        <rFont val="Noto Sans CJK SC"/>
        <family val="2"/>
        <charset val="1"/>
      </rPr>
      <t xml:space="preserve">카메라홀더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  <charset val="1"/>
      </rPr>
      <t xml:space="preserve">카메라모듈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  <charset val="1"/>
      </rPr>
      <t>셀카봉</t>
    </r>
  </si>
  <si>
    <r>
      <rPr>
        <sz val="10"/>
        <rFont val="맑은 고딕"/>
        <family val="3"/>
        <charset val="129"/>
      </rPr>
      <t xml:space="preserve">Wrist </t>
    </r>
    <r>
      <rPr>
        <sz val="10"/>
        <rFont val="Noto Sans CJK SC"/>
        <family val="2"/>
        <charset val="1"/>
      </rPr>
      <t xml:space="preserve">카메라홀더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  <charset val="1"/>
      </rPr>
      <t>카메라모듈</t>
    </r>
  </si>
  <si>
    <r>
      <rPr>
        <sz val="10"/>
        <rFont val="맑은 고딕"/>
        <family val="3"/>
        <charset val="129"/>
      </rPr>
      <t xml:space="preserve">Belly </t>
    </r>
    <r>
      <rPr>
        <sz val="10"/>
        <rFont val="Noto Sans CJK SC"/>
        <family val="2"/>
        <charset val="1"/>
      </rPr>
      <t xml:space="preserve">카메라홀더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  <charset val="1"/>
      </rPr>
      <t>카메라모듈</t>
    </r>
  </si>
  <si>
    <r>
      <rPr>
        <sz val="10"/>
        <rFont val="Noto Sans CJK SC"/>
        <family val="2"/>
        <charset val="1"/>
      </rPr>
      <t xml:space="preserve">고급형 클램프 </t>
    </r>
    <r>
      <rPr>
        <sz val="10"/>
        <rFont val="맑은 고딕"/>
        <family val="3"/>
        <charset val="129"/>
      </rPr>
      <t>4pcs</t>
    </r>
  </si>
  <si>
    <t>LeRobot SO-ARM 101 Open Gripper</t>
  </si>
  <si>
    <r>
      <rPr>
        <sz val="10"/>
        <rFont val="맑은 고딕"/>
        <family val="3"/>
        <charset val="129"/>
      </rPr>
      <t xml:space="preserve">LeRobot SO-ARM 101 Max - </t>
    </r>
    <r>
      <rPr>
        <sz val="10"/>
        <rFont val="Noto Sans CJK SC"/>
        <family val="2"/>
        <charset val="1"/>
      </rPr>
      <t xml:space="preserve">서보 모터 </t>
    </r>
    <r>
      <rPr>
        <sz val="10"/>
        <rFont val="맑은 고딕"/>
        <family val="3"/>
        <charset val="129"/>
      </rPr>
      <t>STS3215 (7.4v/19kg)</t>
    </r>
  </si>
  <si>
    <r>
      <rPr>
        <sz val="10"/>
        <rFont val="맑은 고딕"/>
        <family val="3"/>
        <charset val="129"/>
      </rPr>
      <t xml:space="preserve">LeRobot SO-ARM 101 Max - </t>
    </r>
    <r>
      <rPr>
        <sz val="10"/>
        <rFont val="Noto Sans CJK SC"/>
        <family val="2"/>
        <charset val="1"/>
      </rPr>
      <t xml:space="preserve">서보 모터 </t>
    </r>
    <r>
      <rPr>
        <sz val="10"/>
        <rFont val="맑은 고딕"/>
        <family val="3"/>
        <charset val="129"/>
      </rPr>
      <t>STS3215 (12v/30kg)</t>
    </r>
  </si>
  <si>
    <t>Dual SO-ARM (Only Bridge)</t>
  </si>
  <si>
    <t>Dual SO-ARM Full Set</t>
  </si>
  <si>
    <r>
      <rPr>
        <sz val="10"/>
        <rFont val="맑은 고딕"/>
        <family val="3"/>
        <charset val="129"/>
      </rPr>
      <t xml:space="preserve">LeRobot SO-ARM101 Max - 3D </t>
    </r>
    <r>
      <rPr>
        <sz val="10"/>
        <rFont val="Noto Sans CJK SC"/>
        <family val="2"/>
        <charset val="1"/>
      </rPr>
      <t>프린팅 부품 제외</t>
    </r>
  </si>
  <si>
    <r>
      <rPr>
        <sz val="10"/>
        <rFont val="맑은 고딕"/>
        <family val="3"/>
        <charset val="129"/>
      </rPr>
      <t xml:space="preserve">LeRobot SO-ARM101 Max - 3D </t>
    </r>
    <r>
      <rPr>
        <sz val="10"/>
        <rFont val="Noto Sans CJK SC"/>
        <family val="2"/>
        <charset val="1"/>
      </rPr>
      <t>프린팅 부품</t>
    </r>
  </si>
  <si>
    <r>
      <rPr>
        <sz val="10"/>
        <rFont val="Noto Sans CJK SC"/>
        <family val="2"/>
        <charset val="1"/>
      </rPr>
      <t xml:space="preserve">리더암 모터 세트 </t>
    </r>
    <r>
      <rPr>
        <sz val="10"/>
        <rFont val="맑은 고딕"/>
        <family val="3"/>
        <charset val="129"/>
      </rPr>
      <t>(7.4v/19kg)</t>
    </r>
  </si>
  <si>
    <r>
      <rPr>
        <sz val="10"/>
        <rFont val="Noto Sans CJK SC"/>
        <family val="2"/>
        <charset val="1"/>
      </rPr>
      <t xml:space="preserve">팔로워암 모터 세트 </t>
    </r>
    <r>
      <rPr>
        <sz val="10"/>
        <rFont val="맑은 고딕"/>
        <family val="3"/>
        <charset val="129"/>
      </rPr>
      <t>(12v/30kg)</t>
    </r>
  </si>
  <si>
    <t>모터드라이브 모듈</t>
  </si>
  <si>
    <t>전원 어댑터</t>
  </si>
  <si>
    <r>
      <rPr>
        <sz val="10"/>
        <rFont val="맑은 고딕"/>
        <family val="3"/>
        <charset val="129"/>
      </rPr>
      <t xml:space="preserve">USB to C </t>
    </r>
    <r>
      <rPr>
        <sz val="10"/>
        <rFont val="Noto Sans CJK SC"/>
        <family val="2"/>
        <charset val="1"/>
      </rPr>
      <t>케이블</t>
    </r>
  </si>
  <si>
    <t>조립서비스</t>
  </si>
  <si>
    <t>김성관</t>
    <phoneticPr fontId="13" type="noConversion"/>
  </si>
  <si>
    <t>010-3479-7777</t>
    <phoneticPr fontId="13" type="noConversion"/>
  </si>
  <si>
    <t>주식회사 로보시지</t>
    <phoneticPr fontId="13" type="noConversion"/>
  </si>
  <si>
    <t>836-81-03763</t>
    <phoneticPr fontId="13" type="noConversion"/>
  </si>
  <si>
    <t>합계</t>
    <phoneticPr fontId="13" type="noConversion"/>
  </si>
  <si>
    <t>할인액</t>
    <phoneticPr fontId="13" type="noConversion"/>
  </si>
  <si>
    <t>LeRobot SO-ARM 101 Open Gripper</t>
    <phoneticPr fontId="13" type="noConversion"/>
  </si>
  <si>
    <r>
      <t xml:space="preserve">Top </t>
    </r>
    <r>
      <rPr>
        <sz val="11"/>
        <color theme="1"/>
        <rFont val="맑은 고딕"/>
        <family val="2"/>
        <charset val="129"/>
      </rPr>
      <t>카메라홀더</t>
    </r>
    <r>
      <rPr>
        <sz val="11"/>
        <color theme="1"/>
        <rFont val="Calibri"/>
        <family val="2"/>
        <charset val="1"/>
      </rPr>
      <t xml:space="preserve"> + </t>
    </r>
    <r>
      <rPr>
        <sz val="11"/>
        <color theme="1"/>
        <rFont val="맑은 고딕"/>
        <family val="2"/>
        <charset val="129"/>
      </rPr>
      <t>카메라모듈</t>
    </r>
    <r>
      <rPr>
        <sz val="11"/>
        <color theme="1"/>
        <rFont val="Calibri"/>
        <family val="2"/>
        <charset val="1"/>
      </rPr>
      <t xml:space="preserve"> + </t>
    </r>
    <r>
      <rPr>
        <sz val="11"/>
        <color theme="1"/>
        <rFont val="맑은 고딕"/>
        <family val="2"/>
        <charset val="129"/>
      </rPr>
      <t>셀카봉</t>
    </r>
    <phoneticPr fontId="13" type="noConversion"/>
  </si>
  <si>
    <r>
      <t xml:space="preserve">Wrist </t>
    </r>
    <r>
      <rPr>
        <sz val="11"/>
        <color theme="1"/>
        <rFont val="맑은 고딕"/>
        <family val="2"/>
        <charset val="129"/>
      </rPr>
      <t>카메라홀더</t>
    </r>
    <r>
      <rPr>
        <sz val="11"/>
        <color theme="1"/>
        <rFont val="Calibri"/>
        <family val="2"/>
        <charset val="1"/>
      </rPr>
      <t xml:space="preserve"> + </t>
    </r>
    <r>
      <rPr>
        <sz val="11"/>
        <color theme="1"/>
        <rFont val="맑은 고딕"/>
        <family val="2"/>
        <charset val="129"/>
      </rPr>
      <t>카메라모듈</t>
    </r>
    <phoneticPr fontId="13" type="noConversion"/>
  </si>
  <si>
    <r>
      <t xml:space="preserve">Belly </t>
    </r>
    <r>
      <rPr>
        <sz val="11"/>
        <color theme="1"/>
        <rFont val="맑은 고딕"/>
        <family val="2"/>
        <charset val="129"/>
      </rPr>
      <t>카메라홀더</t>
    </r>
    <r>
      <rPr>
        <sz val="11"/>
        <color theme="1"/>
        <rFont val="Calibri"/>
        <family val="2"/>
        <charset val="1"/>
      </rPr>
      <t xml:space="preserve"> + </t>
    </r>
    <r>
      <rPr>
        <sz val="11"/>
        <color theme="1"/>
        <rFont val="맑은 고딕"/>
        <family val="2"/>
        <charset val="129"/>
      </rPr>
      <t>카메라모듈</t>
    </r>
    <phoneticPr fontId="13" type="noConversion"/>
  </si>
  <si>
    <r>
      <rPr>
        <sz val="11"/>
        <color theme="1"/>
        <rFont val="맑은 고딕"/>
        <family val="2"/>
        <charset val="129"/>
      </rPr>
      <t>고급형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클램프</t>
    </r>
    <r>
      <rPr>
        <sz val="11"/>
        <color theme="1"/>
        <rFont val="Calibri"/>
        <family val="2"/>
        <charset val="1"/>
      </rPr>
      <t xml:space="preserve"> 4pcs</t>
    </r>
    <phoneticPr fontId="13" type="noConversion"/>
  </si>
  <si>
    <t>품목</t>
    <phoneticPr fontId="13" type="noConversion"/>
  </si>
  <si>
    <r>
      <t xml:space="preserve">LeRobot SO-ARM101 Max - 3D </t>
    </r>
    <r>
      <rPr>
        <sz val="11"/>
        <color theme="1"/>
        <rFont val="돋움"/>
        <family val="2"/>
        <charset val="129"/>
      </rPr>
      <t>프린팅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2"/>
        <charset val="129"/>
      </rPr>
      <t>부품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2"/>
        <charset val="129"/>
      </rPr>
      <t>제외</t>
    </r>
    <phoneticPr fontId="13" type="noConversion"/>
  </si>
  <si>
    <r>
      <t xml:space="preserve">LeRobot SO-ARM101 Max - 3D </t>
    </r>
    <r>
      <rPr>
        <sz val="11"/>
        <color theme="1"/>
        <rFont val="돋움"/>
        <family val="2"/>
        <charset val="129"/>
      </rPr>
      <t>프린팅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2"/>
        <charset val="129"/>
      </rPr>
      <t>부품</t>
    </r>
    <phoneticPr fontId="13" type="noConversion"/>
  </si>
  <si>
    <r>
      <t xml:space="preserve">LeRobot SO-ARM 101 Max - </t>
    </r>
    <r>
      <rPr>
        <sz val="11"/>
        <color theme="1"/>
        <rFont val="돋움"/>
        <family val="2"/>
        <charset val="129"/>
      </rPr>
      <t>서보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2"/>
        <charset val="129"/>
      </rPr>
      <t>모터</t>
    </r>
    <r>
      <rPr>
        <sz val="11"/>
        <color theme="1"/>
        <rFont val="Calibri"/>
        <family val="2"/>
        <charset val="1"/>
      </rPr>
      <t xml:space="preserve"> STS3215 (7.4v/19kg)</t>
    </r>
    <phoneticPr fontId="13" type="noConversion"/>
  </si>
  <si>
    <r>
      <t xml:space="preserve">LeRobot SO-ARM 101 Max - </t>
    </r>
    <r>
      <rPr>
        <sz val="11"/>
        <color theme="1"/>
        <rFont val="돋움"/>
        <family val="2"/>
        <charset val="129"/>
      </rPr>
      <t>서보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2"/>
        <charset val="129"/>
      </rPr>
      <t>모터</t>
    </r>
    <r>
      <rPr>
        <sz val="11"/>
        <color theme="1"/>
        <rFont val="Calibri"/>
        <family val="2"/>
        <charset val="1"/>
      </rPr>
      <t xml:space="preserve"> STS3215 (12v/30kg)</t>
    </r>
    <phoneticPr fontId="13" type="noConversion"/>
  </si>
  <si>
    <t>Dual SO-ARM (Only Bridge)</t>
    <phoneticPr fontId="13" type="noConversion"/>
  </si>
  <si>
    <t>Dual SO-ARM Full Set</t>
    <phoneticPr fontId="13" type="noConversion"/>
  </si>
  <si>
    <r>
      <rPr>
        <sz val="11"/>
        <color theme="1"/>
        <rFont val="돋움"/>
        <family val="2"/>
        <charset val="129"/>
      </rPr>
      <t>리더암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2"/>
        <charset val="129"/>
      </rPr>
      <t>모터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2"/>
        <charset val="129"/>
      </rPr>
      <t>세트</t>
    </r>
    <r>
      <rPr>
        <sz val="11"/>
        <color theme="1"/>
        <rFont val="Calibri"/>
        <family val="2"/>
        <charset val="1"/>
      </rPr>
      <t xml:space="preserve"> (7.4v/19kg)</t>
    </r>
    <phoneticPr fontId="13" type="noConversion"/>
  </si>
  <si>
    <r>
      <rPr>
        <sz val="11"/>
        <color theme="1"/>
        <rFont val="돋움"/>
        <family val="2"/>
        <charset val="129"/>
      </rPr>
      <t>팔로워암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모터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세트</t>
    </r>
    <r>
      <rPr>
        <sz val="11"/>
        <color theme="1"/>
        <rFont val="Calibri"/>
        <family val="2"/>
      </rPr>
      <t xml:space="preserve"> (12v/30kg)</t>
    </r>
    <phoneticPr fontId="13" type="noConversion"/>
  </si>
  <si>
    <r>
      <rPr>
        <sz val="11"/>
        <color theme="1"/>
        <rFont val="돋움"/>
        <family val="2"/>
        <charset val="129"/>
      </rPr>
      <t>모터드라이브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모듈</t>
    </r>
    <phoneticPr fontId="13" type="noConversion"/>
  </si>
  <si>
    <r>
      <rPr>
        <sz val="11"/>
        <color theme="1"/>
        <rFont val="돋움"/>
        <family val="2"/>
        <charset val="129"/>
      </rPr>
      <t>전원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어댑터</t>
    </r>
    <phoneticPr fontId="13" type="noConversion"/>
  </si>
  <si>
    <r>
      <t xml:space="preserve">USB to C </t>
    </r>
    <r>
      <rPr>
        <sz val="11"/>
        <color theme="1"/>
        <rFont val="돋움"/>
        <family val="2"/>
        <charset val="129"/>
      </rPr>
      <t>케이블</t>
    </r>
    <phoneticPr fontId="13" type="noConversion"/>
  </si>
  <si>
    <t>조립서비스</t>
    <phoneticPr fontId="13" type="noConversion"/>
  </si>
  <si>
    <r>
      <t xml:space="preserve">1. </t>
    </r>
    <r>
      <rPr>
        <b/>
        <i/>
        <sz val="11"/>
        <rFont val="Noto Sans CJK SC"/>
        <family val="2"/>
        <charset val="1"/>
      </rPr>
      <t>하기와 같이 견적 드리오니 검토 바랍니다</t>
    </r>
    <r>
      <rPr>
        <b/>
        <i/>
        <sz val="11"/>
        <rFont val="맑은 고딕"/>
        <family val="3"/>
        <charset val="129"/>
      </rPr>
      <t xml:space="preserve">.    2. </t>
    </r>
    <r>
      <rPr>
        <b/>
        <i/>
        <sz val="11"/>
        <rFont val="Noto Sans CJK SC"/>
        <family val="2"/>
        <charset val="1"/>
      </rPr>
      <t xml:space="preserve">본 견적서의 유효기간은 견적일로부터 </t>
    </r>
    <r>
      <rPr>
        <b/>
        <i/>
        <sz val="11"/>
        <rFont val="맑은 고딕"/>
        <family val="3"/>
        <charset val="129"/>
      </rPr>
      <t>7</t>
    </r>
    <r>
      <rPr>
        <b/>
        <i/>
        <sz val="11"/>
        <rFont val="Noto Sans CJK SC"/>
        <family val="2"/>
        <charset val="1"/>
      </rPr>
      <t>일입니다</t>
    </r>
    <r>
      <rPr>
        <b/>
        <i/>
        <sz val="11"/>
        <rFont val="맑은 고딕"/>
        <family val="3"/>
        <charset val="129"/>
      </rPr>
      <t>.</t>
    </r>
  </si>
  <si>
    <r>
      <t>LeRobot Lekiwi Mobile Base (</t>
    </r>
    <r>
      <rPr>
        <sz val="11"/>
        <color theme="1"/>
        <rFont val="맑은 고딕"/>
        <family val="2"/>
        <charset val="129"/>
      </rPr>
      <t>라즈베리파이 제외)</t>
    </r>
    <phoneticPr fontId="13" type="noConversion"/>
  </si>
  <si>
    <r>
      <t>LeRobot Lekiwi Full Set (</t>
    </r>
    <r>
      <rPr>
        <sz val="11"/>
        <color theme="1"/>
        <rFont val="맑은 고딕"/>
        <family val="2"/>
        <charset val="129"/>
      </rPr>
      <t>라즈베리파이 제외)</t>
    </r>
    <phoneticPr fontId="13" type="noConversion"/>
  </si>
  <si>
    <r>
      <rPr>
        <sz val="11"/>
        <color theme="1"/>
        <rFont val="맑은 고딕"/>
        <family val="2"/>
        <charset val="129"/>
      </rPr>
      <t>라즈베리파이</t>
    </r>
    <r>
      <rPr>
        <sz val="11"/>
        <color theme="1"/>
        <rFont val="Calibri"/>
        <family val="2"/>
      </rPr>
      <t>4B 8GB</t>
    </r>
    <phoneticPr fontId="13" type="noConversion"/>
  </si>
  <si>
    <r>
      <rPr>
        <sz val="11"/>
        <color theme="1"/>
        <rFont val="맑은 고딕"/>
        <family val="2"/>
        <charset val="129"/>
      </rPr>
      <t>마이크로</t>
    </r>
    <r>
      <rPr>
        <sz val="11"/>
        <color theme="1"/>
        <rFont val="Calibri"/>
        <family val="2"/>
      </rPr>
      <t xml:space="preserve"> SD</t>
    </r>
    <r>
      <rPr>
        <sz val="11"/>
        <color theme="1"/>
        <rFont val="맑은 고딕"/>
        <family val="2"/>
        <charset val="129"/>
      </rPr>
      <t>카드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맑은 고딕"/>
        <family val="2"/>
        <charset val="129"/>
      </rPr>
      <t xml:space="preserve">운영체제 및 </t>
    </r>
    <r>
      <rPr>
        <sz val="11"/>
        <color theme="1"/>
        <rFont val="Calibri"/>
        <family val="2"/>
      </rPr>
      <t xml:space="preserve">SW </t>
    </r>
    <r>
      <rPr>
        <sz val="11"/>
        <color theme="1"/>
        <rFont val="맑은 고딕"/>
        <family val="2"/>
        <charset val="129"/>
      </rPr>
      <t>포함</t>
    </r>
    <r>
      <rPr>
        <sz val="11"/>
        <color theme="1"/>
        <rFont val="Calibri"/>
        <family val="2"/>
      </rPr>
      <t>)</t>
    </r>
    <phoneticPr fontId="13" type="noConversion"/>
  </si>
  <si>
    <r>
      <rPr>
        <b/>
        <sz val="10"/>
        <color rgb="FFFFFFFF"/>
        <rFont val="맑은 고딕"/>
        <family val="3"/>
        <charset val="129"/>
      </rPr>
      <t>품목별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단가</t>
    </r>
    <phoneticPr fontId="13" type="noConversion"/>
  </si>
  <si>
    <t>품목별 판매가</t>
    <phoneticPr fontId="13" type="noConversion"/>
  </si>
  <si>
    <t>※ 5대 이상 제품 생산 주문요청은 선납금(계약금 10%) 입금으로 시작되며, 제품 납기일은 30일내 입니다.</t>
    <phoneticPr fontId="13" type="noConversion"/>
  </si>
  <si>
    <t>LeRobot SO-ARM 101 Open Gripper Camera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</si>
</sst>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0">
    <font>
      <sz val="11"/>
      <color theme="1"/>
      <name val="Calibri"/>
      <family val="2"/>
      <charset val="1"/>
    </font>
    <font>
      <b/>
      <sz val="24"/>
      <name val="Noto Sans CJK SC"/>
      <family val="2"/>
      <charset val="1"/>
    </font>
    <font>
      <b/>
      <sz val="10"/>
      <name val="Noto Sans CJK SC"/>
      <family val="2"/>
      <charset val="1"/>
    </font>
    <font>
      <sz val="10"/>
      <name val="맑은 고딕"/>
      <family val="3"/>
      <charset val="129"/>
    </font>
    <font>
      <sz val="10"/>
      <name val="Noto Sans CJK SC"/>
      <family val="2"/>
      <charset val="1"/>
    </font>
    <font>
      <b/>
      <sz val="14"/>
      <name val="맑은 고딕"/>
      <family val="3"/>
      <charset val="129"/>
    </font>
    <font>
      <b/>
      <sz val="14"/>
      <color rgb="FFC00000"/>
      <name val="맑은 고딕"/>
      <family val="3"/>
      <charset val="129"/>
    </font>
    <font>
      <b/>
      <sz val="10"/>
      <color rgb="FFFFFFFF"/>
      <name val="Noto Sans CJK SC"/>
      <family val="2"/>
      <charset val="1"/>
    </font>
    <font>
      <i/>
      <sz val="9"/>
      <color rgb="FF7F7F7F"/>
      <name val="Noto Sans CJK SC"/>
      <family val="2"/>
      <charset val="1"/>
    </font>
    <font>
      <b/>
      <sz val="12"/>
      <color rgb="FFC00000"/>
      <name val="Noto Sans CJK SC"/>
      <family val="2"/>
      <charset val="1"/>
    </font>
    <font>
      <b/>
      <sz val="12"/>
      <color rgb="FFC00000"/>
      <name val="맑은 고딕"/>
      <family val="3"/>
      <charset val="129"/>
    </font>
    <font>
      <b/>
      <sz val="11"/>
      <color rgb="FFFFFFFF"/>
      <name val="Noto Sans CJK SC"/>
      <family val="2"/>
      <charset val="1"/>
    </font>
    <font>
      <sz val="10"/>
      <name val="Noto Sans CJK SC"/>
      <family val="2"/>
    </font>
    <font>
      <sz val="8"/>
      <name val="돋움"/>
      <family val="3"/>
      <charset val="129"/>
    </font>
    <font>
      <u/>
      <sz val="11"/>
      <color theme="10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맑은 고딕"/>
      <family val="2"/>
      <charset val="129"/>
    </font>
    <font>
      <sz val="11"/>
      <color theme="1"/>
      <name val="돋움"/>
      <family val="2"/>
      <charset val="129"/>
    </font>
    <font>
      <sz val="11"/>
      <color theme="1"/>
      <name val="Calibri"/>
      <family val="2"/>
    </font>
    <font>
      <b/>
      <sz val="11"/>
      <name val="Noto Sans CJK SC"/>
      <family val="2"/>
      <charset val="1"/>
    </font>
    <font>
      <sz val="11"/>
      <name val="맑은 고딕"/>
      <family val="3"/>
      <charset val="129"/>
    </font>
    <font>
      <sz val="11"/>
      <name val="Noto Sans CJK SC"/>
      <family val="2"/>
      <charset val="1"/>
    </font>
    <font>
      <b/>
      <i/>
      <sz val="11"/>
      <name val="맑은 고딕"/>
      <family val="3"/>
      <charset val="129"/>
    </font>
    <font>
      <b/>
      <i/>
      <sz val="11"/>
      <name val="Noto Sans CJK SC"/>
      <family val="2"/>
      <charset val="1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1"/>
      <name val="Calibri"/>
      <family val="2"/>
      <charset val="129"/>
    </font>
    <font>
      <b/>
      <sz val="10"/>
      <color rgb="FFFFFFFF"/>
      <name val="맑은 고딕"/>
      <family val="3"/>
      <charset val="129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4472C4"/>
        <bgColor rgb="FF666699"/>
      </patternFill>
    </fill>
    <fill>
      <patternFill patternType="solid">
        <fgColor theme="7"/>
        <bgColor rgb="FF666699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4" fillId="0" borderId="0" applyNumberFormat="0" applyFill="0" applyBorder="0" applyAlignment="0" applyProtection="0"/>
    <xf numFmtId="41" fontId="15" fillId="0" borderId="0" applyFont="0" applyFill="0" applyBorder="0" applyAlignment="0" applyProtection="0">
      <alignment vertical="center"/>
    </xf>
  </cellStyleXfs>
  <cellXfs count="38">
    <xf numFmtId="0" fontId="0" fillId="0" borderId="0" xfId="0"/>
    <xf numFmtId="0" fontId="11" fillId="4" borderId="0" xfId="0" applyFont="1" applyFill="1" applyAlignment="1">
      <alignment horizontal="center" vertical="center"/>
    </xf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0" fontId="12" fillId="0" borderId="0" xfId="0" applyFont="1"/>
    <xf numFmtId="41" fontId="0" fillId="0" borderId="0" xfId="2" applyFont="1" applyAlignment="1"/>
    <xf numFmtId="0" fontId="7" fillId="5" borderId="6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41" fontId="0" fillId="0" borderId="0" xfId="2" applyFont="1" applyAlignment="1">
      <alignment vertical="center"/>
    </xf>
    <xf numFmtId="0" fontId="19" fillId="2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 indent="1"/>
    </xf>
    <xf numFmtId="0" fontId="24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3" fontId="20" fillId="0" borderId="1" xfId="0" applyNumberFormat="1" applyFont="1" applyBorder="1" applyAlignment="1">
      <alignment horizontal="right" vertical="center" indent="1"/>
    </xf>
    <xf numFmtId="3" fontId="0" fillId="0" borderId="0" xfId="0" applyNumberFormat="1"/>
    <xf numFmtId="0" fontId="26" fillId="0" borderId="0" xfId="0" applyFont="1" applyAlignment="1">
      <alignment vertical="center"/>
    </xf>
    <xf numFmtId="0" fontId="29" fillId="5" borderId="0" xfId="0" applyFont="1" applyFill="1" applyAlignment="1">
      <alignment horizontal="center" vertical="center" wrapText="1"/>
    </xf>
    <xf numFmtId="3" fontId="25" fillId="0" borderId="3" xfId="0" applyNumberFormat="1" applyFont="1" applyBorder="1" applyAlignment="1">
      <alignment horizontal="left" vertical="center"/>
    </xf>
    <xf numFmtId="3" fontId="25" fillId="0" borderId="4" xfId="0" applyNumberFormat="1" applyFont="1" applyBorder="1" applyAlignment="1">
      <alignment horizontal="left" vertical="center"/>
    </xf>
    <xf numFmtId="3" fontId="25" fillId="0" borderId="5" xfId="0" applyNumberFormat="1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 indent="1"/>
    </xf>
    <xf numFmtId="0" fontId="19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 indent="1"/>
    </xf>
    <xf numFmtId="0" fontId="14" fillId="0" borderId="1" xfId="1" applyBorder="1" applyAlignment="1">
      <alignment horizontal="left" vertical="center" wrapText="1" indent="1"/>
    </xf>
    <xf numFmtId="0" fontId="22" fillId="0" borderId="2" xfId="0" applyFont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right" vertical="center" indent="1"/>
    </xf>
    <xf numFmtId="0" fontId="2" fillId="2" borderId="1" xfId="0" applyFont="1" applyFill="1" applyBorder="1" applyAlignment="1">
      <alignment horizontal="right" vertical="center" indent="1"/>
    </xf>
    <xf numFmtId="3" fontId="3" fillId="0" borderId="1" xfId="0" applyNumberFormat="1" applyFont="1" applyBorder="1" applyAlignment="1">
      <alignment horizontal="right" vertical="center" indent="1"/>
    </xf>
    <xf numFmtId="0" fontId="9" fillId="3" borderId="1" xfId="0" applyFont="1" applyFill="1" applyBorder="1" applyAlignment="1">
      <alignment horizontal="right" vertical="center" indent="1"/>
    </xf>
    <xf numFmtId="3" fontId="10" fillId="3" borderId="1" xfId="0" applyNumberFormat="1" applyFont="1" applyFill="1" applyBorder="1" applyAlignment="1">
      <alignment horizontal="right" vertical="center" indent="1"/>
    </xf>
  </cellXfs>
  <cellStyles count="3">
    <cellStyle name="쉼표 [0]" xfId="2" builtinId="6"/>
    <cellStyle name="표준" xfId="0" builtinId="0"/>
    <cellStyle name="하이퍼링크" xfId="1" builtinId="8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30240</xdr:colOff>
      <xdr:row>0</xdr:row>
      <xdr:rowOff>207720</xdr:rowOff>
    </xdr:from>
    <xdr:to>
      <xdr:col>0</xdr:col>
      <xdr:colOff>692705</xdr:colOff>
      <xdr:row>2</xdr:row>
      <xdr:rowOff>298375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2BDA087C-5A34-4F72-808C-9A984C83DDAE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0240" y="207720"/>
          <a:ext cx="665640" cy="70343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256215</xdr:colOff>
      <xdr:row>3</xdr:row>
      <xdr:rowOff>131014</xdr:rowOff>
    </xdr:from>
    <xdr:to>
      <xdr:col>7</xdr:col>
      <xdr:colOff>28934</xdr:colOff>
      <xdr:row>5</xdr:row>
      <xdr:rowOff>60704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ABEB596-4CC3-4E7E-BEA9-8DE9F2EB8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2765" y="1131139"/>
          <a:ext cx="706169" cy="6916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8D633-D538-4682-A004-C5A1D8013103}">
  <sheetPr>
    <pageSetUpPr fitToPage="1"/>
  </sheetPr>
  <dimension ref="A1:K30"/>
  <sheetViews>
    <sheetView view="pageBreakPreview" topLeftCell="A8" zoomScaleNormal="106" zoomScaleSheetLayoutView="100" workbookViewId="0">
      <selection activeCell="B13" sqref="B13"/>
    </sheetView>
  </sheetViews>
  <sheetFormatPr defaultColWidth="8.7109375" defaultRowHeight="15"/>
  <cols>
    <col min="1" max="1" width="10.7109375" customWidth="1"/>
    <col min="2" max="2" width="40.85546875" customWidth="1"/>
    <col min="3" max="3" width="8" customWidth="1"/>
    <col min="4" max="4" width="13.5703125" customWidth="1"/>
    <col min="5" max="5" width="15.140625" customWidth="1"/>
    <col min="6" max="6" width="12" customWidth="1"/>
    <col min="7" max="7" width="14" customWidth="1"/>
    <col min="8" max="9" width="5.28515625" customWidth="1"/>
    <col min="10" max="10" width="50.5703125" customWidth="1"/>
    <col min="11" max="11" width="20.7109375" style="6" customWidth="1"/>
  </cols>
  <sheetData>
    <row r="1" spans="1:11" ht="18.75" customHeight="1">
      <c r="A1" s="26"/>
      <c r="B1" s="27" t="s">
        <v>0</v>
      </c>
      <c r="C1" s="27"/>
      <c r="D1" s="27"/>
      <c r="E1" s="27"/>
      <c r="F1" s="27"/>
      <c r="G1" s="27"/>
      <c r="J1" s="7"/>
      <c r="K1" s="8"/>
    </row>
    <row r="2" spans="1:11" ht="30" customHeight="1">
      <c r="A2" s="26"/>
      <c r="B2" s="26"/>
      <c r="C2" s="27"/>
      <c r="D2" s="27"/>
      <c r="E2" s="27"/>
      <c r="F2" s="27"/>
      <c r="G2" s="27"/>
      <c r="J2" s="9"/>
      <c r="K2" s="10"/>
    </row>
    <row r="3" spans="1:11" ht="30" customHeight="1">
      <c r="A3" s="26"/>
      <c r="B3" s="26"/>
      <c r="C3" s="27"/>
      <c r="D3" s="27"/>
      <c r="E3" s="27"/>
      <c r="F3" s="27"/>
      <c r="G3" s="27"/>
      <c r="J3" s="9"/>
      <c r="K3" s="10"/>
    </row>
    <row r="4" spans="1:11" ht="30" customHeight="1">
      <c r="A4" s="11" t="s">
        <v>1</v>
      </c>
      <c r="B4" s="24"/>
      <c r="C4" s="24"/>
      <c r="D4" s="25" t="s">
        <v>2</v>
      </c>
      <c r="E4" s="25"/>
      <c r="F4" s="24" t="s">
        <v>41</v>
      </c>
      <c r="G4" s="28"/>
      <c r="J4" s="9"/>
      <c r="K4" s="10"/>
    </row>
    <row r="5" spans="1:11" ht="30" customHeight="1">
      <c r="A5" s="11" t="s">
        <v>3</v>
      </c>
      <c r="B5" s="24"/>
      <c r="C5" s="24"/>
      <c r="D5" s="25" t="s">
        <v>4</v>
      </c>
      <c r="E5" s="25"/>
      <c r="F5" s="24" t="s">
        <v>42</v>
      </c>
      <c r="G5" s="24"/>
      <c r="J5" s="9"/>
      <c r="K5" s="10"/>
    </row>
    <row r="6" spans="1:11" ht="30" customHeight="1">
      <c r="A6" s="11" t="s">
        <v>5</v>
      </c>
      <c r="B6" s="24"/>
      <c r="C6" s="24"/>
      <c r="D6" s="25" t="s">
        <v>5</v>
      </c>
      <c r="E6" s="25"/>
      <c r="F6" s="24" t="s">
        <v>39</v>
      </c>
      <c r="G6" s="24"/>
      <c r="J6" s="9"/>
      <c r="K6" s="10"/>
    </row>
    <row r="7" spans="1:11" ht="30" customHeight="1">
      <c r="A7" s="11" t="s">
        <v>6</v>
      </c>
      <c r="B7" s="24"/>
      <c r="C7" s="24"/>
      <c r="D7" s="25" t="s">
        <v>6</v>
      </c>
      <c r="E7" s="25"/>
      <c r="F7" s="24" t="s">
        <v>40</v>
      </c>
      <c r="G7" s="24"/>
      <c r="J7" s="9"/>
      <c r="K7" s="10"/>
    </row>
    <row r="8" spans="1:11" ht="30" customHeight="1">
      <c r="A8" s="11" t="s">
        <v>7</v>
      </c>
      <c r="B8" s="29"/>
      <c r="C8" s="24"/>
      <c r="D8" s="25" t="s">
        <v>7</v>
      </c>
      <c r="E8" s="25"/>
      <c r="F8" s="24" t="s">
        <v>8</v>
      </c>
      <c r="G8" s="24"/>
      <c r="J8" s="9"/>
      <c r="K8" s="10"/>
    </row>
    <row r="9" spans="1:11" ht="30" customHeight="1">
      <c r="A9" s="30" t="s">
        <v>63</v>
      </c>
      <c r="B9" s="30"/>
      <c r="C9" s="30"/>
      <c r="D9" s="30"/>
      <c r="E9" s="30"/>
      <c r="F9" s="30"/>
      <c r="G9" s="30"/>
      <c r="J9" s="9"/>
      <c r="K9" s="10"/>
    </row>
    <row r="10" spans="1:11" ht="30" customHeight="1">
      <c r="A10" s="31" t="s">
        <v>9</v>
      </c>
      <c r="B10" s="31"/>
      <c r="C10" s="32" t="str">
        <f>"₩ "&amp;TEXT(F27,"#,##0")&amp;" (부가세 포함)"</f>
        <v>₩ 0 (부가세 포함)</v>
      </c>
      <c r="D10" s="32"/>
      <c r="E10" s="32"/>
      <c r="F10" s="32"/>
      <c r="G10" s="32"/>
      <c r="J10" s="9"/>
      <c r="K10" s="10"/>
    </row>
    <row r="11" spans="1:11">
      <c r="J11" s="9"/>
      <c r="K11" s="10"/>
    </row>
    <row r="12" spans="1:11" ht="30" customHeight="1">
      <c r="A12" s="14" t="s">
        <v>10</v>
      </c>
      <c r="B12" s="15" t="s">
        <v>11</v>
      </c>
      <c r="C12" s="15" t="s">
        <v>12</v>
      </c>
      <c r="D12" s="15" t="s">
        <v>13</v>
      </c>
      <c r="E12" s="15" t="s">
        <v>14</v>
      </c>
      <c r="F12" s="15" t="s">
        <v>15</v>
      </c>
      <c r="G12" s="15" t="s">
        <v>16</v>
      </c>
      <c r="J12" s="9"/>
      <c r="K12" s="10"/>
    </row>
    <row r="13" spans="1:11" ht="30" customHeight="1">
      <c r="A13" s="16">
        <v>1</v>
      </c>
      <c r="B13" s="12"/>
      <c r="C13" s="16"/>
      <c r="D13" s="17" t="str">
        <f>IFERROR(IF($B13="","",ROUND(VLOOKUP($B13,'품목별 구매단가'!$A:$B,2,0),0)),"")</f>
        <v/>
      </c>
      <c r="E13" s="17" t="str">
        <f t="shared" ref="E13:E20" si="0">IF(OR($B13="",$C13="",$D13=""),"",$C13*$D13)</f>
        <v/>
      </c>
      <c r="F13" s="17" t="str">
        <f t="shared" ref="F13:F20" si="1">IF($E13="","",ROUND($E13*0.1,0))</f>
        <v/>
      </c>
      <c r="G13" s="16"/>
      <c r="J13" s="9"/>
      <c r="K13" s="10"/>
    </row>
    <row r="14" spans="1:11" ht="30" customHeight="1">
      <c r="A14" s="16">
        <v>2</v>
      </c>
      <c r="B14" s="12"/>
      <c r="C14" s="16"/>
      <c r="D14" s="17" t="str">
        <f>IFERROR(IF($B14="","",ROUND(VLOOKUP($B14,'품목별 구매단가'!$A:$B,2,0),0)),"")</f>
        <v/>
      </c>
      <c r="E14" s="17" t="str">
        <f t="shared" si="0"/>
        <v/>
      </c>
      <c r="F14" s="17" t="str">
        <f t="shared" si="1"/>
        <v/>
      </c>
      <c r="G14" s="16"/>
      <c r="J14" s="9"/>
      <c r="K14" s="10"/>
    </row>
    <row r="15" spans="1:11" ht="30" customHeight="1">
      <c r="A15" s="16">
        <v>3</v>
      </c>
      <c r="B15" s="12"/>
      <c r="C15" s="16"/>
      <c r="D15" s="17" t="str">
        <f>IFERROR(IF($B15="","",ROUND(VLOOKUP($B15,'품목별 구매단가'!$A:$B,2,0),0)),"")</f>
        <v/>
      </c>
      <c r="E15" s="17" t="str">
        <f t="shared" si="0"/>
        <v/>
      </c>
      <c r="F15" s="17" t="str">
        <f t="shared" si="1"/>
        <v/>
      </c>
      <c r="G15" s="16"/>
      <c r="J15" s="9"/>
      <c r="K15" s="10"/>
    </row>
    <row r="16" spans="1:11" ht="30" customHeight="1">
      <c r="A16" s="16">
        <v>4</v>
      </c>
      <c r="B16" s="13"/>
      <c r="C16" s="16"/>
      <c r="D16" s="17" t="str">
        <f>IFERROR(IF($B16="","",ROUND(VLOOKUP($B16,'품목별 구매단가'!$A:$B,2,0),0)),"")</f>
        <v/>
      </c>
      <c r="E16" s="17" t="str">
        <f t="shared" si="0"/>
        <v/>
      </c>
      <c r="F16" s="17" t="str">
        <f t="shared" si="1"/>
        <v/>
      </c>
      <c r="G16" s="16"/>
      <c r="J16" s="9"/>
      <c r="K16" s="10"/>
    </row>
    <row r="17" spans="1:11" ht="30" customHeight="1">
      <c r="A17" s="16">
        <v>5</v>
      </c>
      <c r="B17" s="12"/>
      <c r="C17" s="16"/>
      <c r="D17" s="17" t="str">
        <f>IFERROR(IF($B17="","",ROUND(VLOOKUP($B17,'품목별 구매단가'!$A:$B,2,0),0)),"")</f>
        <v/>
      </c>
      <c r="E17" s="17" t="str">
        <f t="shared" si="0"/>
        <v/>
      </c>
      <c r="F17" s="17" t="str">
        <f t="shared" si="1"/>
        <v/>
      </c>
      <c r="G17" s="16"/>
      <c r="J17" s="9"/>
      <c r="K17" s="10"/>
    </row>
    <row r="18" spans="1:11" ht="30" customHeight="1">
      <c r="A18" s="16">
        <v>6</v>
      </c>
      <c r="B18" s="12"/>
      <c r="C18" s="16"/>
      <c r="D18" s="17" t="str">
        <f>IFERROR(IF($B18="","",ROUND(VLOOKUP($B18,'품목별 구매단가'!$A:$B,2,0),0)),"")</f>
        <v/>
      </c>
      <c r="E18" s="17" t="str">
        <f t="shared" si="0"/>
        <v/>
      </c>
      <c r="F18" s="17" t="str">
        <f t="shared" si="1"/>
        <v/>
      </c>
      <c r="G18" s="16"/>
      <c r="J18" s="9"/>
      <c r="K18" s="10"/>
    </row>
    <row r="19" spans="1:11" ht="30" customHeight="1">
      <c r="A19" s="16">
        <v>7</v>
      </c>
      <c r="B19" s="12"/>
      <c r="C19" s="16"/>
      <c r="D19" s="17" t="str">
        <f>IFERROR(IF($B19="","",ROUND(VLOOKUP($B19,'품목별 구매단가'!$A:$B,2,0),0)),"")</f>
        <v/>
      </c>
      <c r="E19" s="17" t="str">
        <f t="shared" si="0"/>
        <v/>
      </c>
      <c r="F19" s="17" t="str">
        <f t="shared" si="1"/>
        <v/>
      </c>
      <c r="G19" s="16"/>
      <c r="J19" s="9"/>
      <c r="K19" s="10"/>
    </row>
    <row r="20" spans="1:11" ht="30" customHeight="1">
      <c r="A20" s="16">
        <v>8</v>
      </c>
      <c r="B20" s="12"/>
      <c r="C20" s="16"/>
      <c r="D20" s="17" t="str">
        <f>IFERROR(IF($B20="","",ROUND(VLOOKUP($B20,'품목별 구매단가'!$A:$B,2,0),0)),"")</f>
        <v/>
      </c>
      <c r="E20" s="17" t="str">
        <f t="shared" si="0"/>
        <v/>
      </c>
      <c r="F20" s="17" t="str">
        <f t="shared" si="1"/>
        <v/>
      </c>
      <c r="G20" s="16"/>
    </row>
    <row r="21" spans="1:11" ht="30" customHeight="1">
      <c r="A21" s="16"/>
      <c r="B21" s="21" t="s">
        <v>70</v>
      </c>
      <c r="C21" s="22"/>
      <c r="D21" s="22"/>
      <c r="E21" s="22"/>
      <c r="F21" s="22"/>
      <c r="G21" s="23"/>
    </row>
    <row r="22" spans="1:11" ht="18" customHeight="1">
      <c r="A22" s="33" t="s">
        <v>17</v>
      </c>
      <c r="B22" s="33"/>
      <c r="C22" s="33"/>
      <c r="D22" s="33"/>
      <c r="E22" s="33"/>
      <c r="F22" s="33"/>
      <c r="G22" s="33"/>
    </row>
    <row r="23" spans="1:11" ht="30" customHeight="1">
      <c r="A23" s="26"/>
      <c r="B23" s="26"/>
      <c r="C23" s="26"/>
      <c r="D23" s="34" t="s">
        <v>18</v>
      </c>
      <c r="E23" s="34"/>
      <c r="F23" s="35">
        <f>SUM(E13:E20)</f>
        <v>0</v>
      </c>
      <c r="G23" s="35"/>
    </row>
    <row r="24" spans="1:11" ht="30" customHeight="1">
      <c r="A24" s="26"/>
      <c r="B24" s="26"/>
      <c r="C24" s="26"/>
      <c r="D24" s="34" t="s">
        <v>19</v>
      </c>
      <c r="E24" s="34"/>
      <c r="F24" s="35">
        <f>SUM(F13:F20)</f>
        <v>0</v>
      </c>
      <c r="G24" s="35"/>
    </row>
    <row r="25" spans="1:11" ht="30" customHeight="1">
      <c r="A25" s="26"/>
      <c r="B25" s="26"/>
      <c r="C25" s="26"/>
      <c r="D25" s="34" t="s">
        <v>43</v>
      </c>
      <c r="E25" s="34"/>
      <c r="F25" s="35">
        <f>F23+F24</f>
        <v>0</v>
      </c>
      <c r="G25" s="35"/>
    </row>
    <row r="26" spans="1:11" ht="30" customHeight="1">
      <c r="A26" s="26"/>
      <c r="B26" s="26"/>
      <c r="C26" s="26"/>
      <c r="D26" s="34" t="s">
        <v>44</v>
      </c>
      <c r="E26" s="34"/>
      <c r="F26" s="35"/>
      <c r="G26" s="35"/>
    </row>
    <row r="27" spans="1:11" ht="30" customHeight="1">
      <c r="A27" s="26"/>
      <c r="B27" s="26"/>
      <c r="C27" s="26"/>
      <c r="D27" s="36" t="s">
        <v>20</v>
      </c>
      <c r="E27" s="36"/>
      <c r="F27" s="37">
        <f>ROUNDDOWN((F25-F26)/100,0)*100</f>
        <v>0</v>
      </c>
      <c r="G27" s="37"/>
    </row>
    <row r="28" spans="1:11" ht="15.6" customHeight="1"/>
    <row r="29" spans="1:11" ht="18.600000000000001" customHeight="1"/>
    <row r="30" spans="1:11" ht="19.5" customHeight="1"/>
  </sheetData>
  <mergeCells count="33">
    <mergeCell ref="A22:G22"/>
    <mergeCell ref="A23:C27"/>
    <mergeCell ref="D23:E23"/>
    <mergeCell ref="F23:G23"/>
    <mergeCell ref="D24:E24"/>
    <mergeCell ref="F24:G24"/>
    <mergeCell ref="D26:E26"/>
    <mergeCell ref="F26:G26"/>
    <mergeCell ref="D27:E27"/>
    <mergeCell ref="F27:G27"/>
    <mergeCell ref="D25:E25"/>
    <mergeCell ref="F25:G25"/>
    <mergeCell ref="D8:E8"/>
    <mergeCell ref="F8:G8"/>
    <mergeCell ref="A9:G9"/>
    <mergeCell ref="A10:B10"/>
    <mergeCell ref="C10:G10"/>
    <mergeCell ref="B21:G21"/>
    <mergeCell ref="B5:C5"/>
    <mergeCell ref="D5:E5"/>
    <mergeCell ref="F5:G5"/>
    <mergeCell ref="A1:A3"/>
    <mergeCell ref="B1:G3"/>
    <mergeCell ref="B4:C4"/>
    <mergeCell ref="D4:E4"/>
    <mergeCell ref="F4:G4"/>
    <mergeCell ref="B6:C6"/>
    <mergeCell ref="D6:E6"/>
    <mergeCell ref="F6:G6"/>
    <mergeCell ref="B7:C7"/>
    <mergeCell ref="D7:E7"/>
    <mergeCell ref="F7:G7"/>
    <mergeCell ref="B8:C8"/>
  </mergeCells>
  <phoneticPr fontId="13" type="noConversion"/>
  <dataValidations xWindow="366" yWindow="779" count="1">
    <dataValidation type="list" allowBlank="1" showInputMessage="1" promptTitle="품목 선택" prompt="드롭다운에서 품목을 선택하세요._x000a_단가는 자동으로 입력됩니다." sqref="B13:B20" xr:uid="{406DB86A-6AF1-44DF-A090-8073C7C8A88A}">
      <formula1>품목</formula1>
    </dataValidation>
  </dataValidations>
  <printOptions horizontalCentered="1"/>
  <pageMargins left="0.39370078740157483" right="0.39370078740157483" top="0.51181102362204722" bottom="0.51181102362204722" header="0.51181102362204722" footer="0.51181102362204722"/>
  <pageSetup paperSize="9" scale="79" fitToHeight="0" orientation="portrait" horizontalDpi="4294967293" verticalDpi="300" r:id="rId1"/>
  <colBreaks count="1" manualBreakCount="1">
    <brk id="1" max="27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212C-F385-4F49-BF14-231AA9EDE98B}">
  <dimension ref="A1:C24"/>
  <sheetViews>
    <sheetView tabSelected="1" workbookViewId="0">
      <selection activeCell="G11" sqref="G11"/>
    </sheetView>
  </sheetViews>
  <sheetFormatPr defaultRowHeight="15"/>
  <cols>
    <col min="1" max="1" width="53.140625" customWidth="1"/>
    <col min="2" max="3" width="21.85546875" customWidth="1"/>
  </cols>
  <sheetData>
    <row r="1" spans="1:3">
      <c r="A1" s="7" t="s">
        <v>50</v>
      </c>
      <c r="B1" s="20" t="s">
        <v>68</v>
      </c>
      <c r="C1" s="20" t="s">
        <v>69</v>
      </c>
    </row>
    <row r="2" spans="1:3">
      <c r="A2" s="9" t="s">
        <v>21</v>
      </c>
      <c r="B2" s="10">
        <v>500000</v>
      </c>
      <c r="C2" s="10">
        <f t="shared" ref="C2:C24" si="0">B2*1.1</f>
        <v>550000</v>
      </c>
    </row>
    <row r="3" spans="1:3" ht="16.5">
      <c r="A3" s="9" t="s">
        <v>46</v>
      </c>
      <c r="B3" s="10">
        <v>50000</v>
      </c>
      <c r="C3" s="10">
        <f t="shared" si="0"/>
        <v>55000.000000000007</v>
      </c>
    </row>
    <row r="4" spans="1:3" ht="16.5">
      <c r="A4" s="9" t="s">
        <v>47</v>
      </c>
      <c r="B4" s="10">
        <v>40000</v>
      </c>
      <c r="C4" s="10">
        <f t="shared" si="0"/>
        <v>44000</v>
      </c>
    </row>
    <row r="5" spans="1:3" ht="16.5">
      <c r="A5" s="9" t="s">
        <v>48</v>
      </c>
      <c r="B5" s="10">
        <v>40000</v>
      </c>
      <c r="C5" s="10">
        <f t="shared" si="0"/>
        <v>44000</v>
      </c>
    </row>
    <row r="6" spans="1:3" ht="16.5">
      <c r="A6" s="9" t="s">
        <v>49</v>
      </c>
      <c r="B6" s="10">
        <v>20000</v>
      </c>
      <c r="C6" s="10">
        <f t="shared" si="0"/>
        <v>22000</v>
      </c>
    </row>
    <row r="7" spans="1:3">
      <c r="A7" s="9" t="s">
        <v>45</v>
      </c>
      <c r="B7" s="10">
        <v>80000</v>
      </c>
      <c r="C7" s="10">
        <f t="shared" si="0"/>
        <v>88000</v>
      </c>
    </row>
    <row r="8" spans="1:3">
      <c r="A8" s="9" t="s">
        <v>71</v>
      </c>
      <c r="B8" s="10">
        <v>40000</v>
      </c>
      <c r="C8" s="10">
        <f t="shared" si="0"/>
        <v>44000</v>
      </c>
    </row>
    <row r="9" spans="1:3">
      <c r="A9" s="9" t="s">
        <v>51</v>
      </c>
      <c r="B9" s="10">
        <v>440000</v>
      </c>
      <c r="C9" s="10">
        <f t="shared" si="0"/>
        <v>484000.00000000006</v>
      </c>
    </row>
    <row r="10" spans="1:3">
      <c r="A10" s="9" t="s">
        <v>52</v>
      </c>
      <c r="B10" s="10">
        <v>70000</v>
      </c>
      <c r="C10" s="10">
        <f t="shared" si="0"/>
        <v>77000</v>
      </c>
    </row>
    <row r="11" spans="1:3">
      <c r="A11" s="9" t="s">
        <v>53</v>
      </c>
      <c r="B11" s="10">
        <v>30000</v>
      </c>
      <c r="C11" s="10">
        <f t="shared" si="0"/>
        <v>33000</v>
      </c>
    </row>
    <row r="12" spans="1:3">
      <c r="A12" s="9" t="s">
        <v>54</v>
      </c>
      <c r="B12" s="10">
        <v>35000</v>
      </c>
      <c r="C12" s="10">
        <f t="shared" si="0"/>
        <v>38500</v>
      </c>
    </row>
    <row r="13" spans="1:3">
      <c r="A13" s="9" t="s">
        <v>55</v>
      </c>
      <c r="B13" s="10">
        <v>200000</v>
      </c>
      <c r="C13" s="10">
        <f t="shared" si="0"/>
        <v>220000.00000000003</v>
      </c>
    </row>
    <row r="14" spans="1:3">
      <c r="A14" s="9" t="s">
        <v>56</v>
      </c>
      <c r="B14" s="10">
        <v>1200000</v>
      </c>
      <c r="C14" s="10">
        <f t="shared" si="0"/>
        <v>1320000</v>
      </c>
    </row>
    <row r="15" spans="1:3">
      <c r="A15" s="9" t="s">
        <v>57</v>
      </c>
      <c r="B15" s="10">
        <v>250000</v>
      </c>
      <c r="C15" s="10">
        <f t="shared" si="0"/>
        <v>275000</v>
      </c>
    </row>
    <row r="16" spans="1:3">
      <c r="A16" s="9" t="s">
        <v>58</v>
      </c>
      <c r="B16" s="10">
        <v>300000</v>
      </c>
      <c r="C16" s="10">
        <f t="shared" si="0"/>
        <v>330000</v>
      </c>
    </row>
    <row r="17" spans="1:3">
      <c r="A17" s="9" t="s">
        <v>59</v>
      </c>
      <c r="B17" s="10">
        <v>5000</v>
      </c>
      <c r="C17" s="10">
        <f t="shared" si="0"/>
        <v>5500</v>
      </c>
    </row>
    <row r="18" spans="1:3">
      <c r="A18" s="9" t="s">
        <v>60</v>
      </c>
      <c r="B18" s="10">
        <v>10000</v>
      </c>
      <c r="C18" s="10">
        <f t="shared" si="0"/>
        <v>11000</v>
      </c>
    </row>
    <row r="19" spans="1:3">
      <c r="A19" s="9" t="s">
        <v>61</v>
      </c>
      <c r="B19" s="10">
        <v>20000</v>
      </c>
      <c r="C19" s="10">
        <f t="shared" si="0"/>
        <v>22000</v>
      </c>
    </row>
    <row r="20" spans="1:3">
      <c r="A20" s="9" t="s">
        <v>62</v>
      </c>
      <c r="B20" s="10">
        <v>90000</v>
      </c>
      <c r="C20" s="10">
        <f t="shared" si="0"/>
        <v>99000.000000000015</v>
      </c>
    </row>
    <row r="21" spans="1:3" ht="16.5">
      <c r="A21" s="9" t="s">
        <v>64</v>
      </c>
      <c r="B21" s="18">
        <v>800000</v>
      </c>
      <c r="C21" s="18">
        <f t="shared" si="0"/>
        <v>880000.00000000012</v>
      </c>
    </row>
    <row r="22" spans="1:3" ht="16.5">
      <c r="A22" s="9" t="s">
        <v>65</v>
      </c>
      <c r="B22" s="10">
        <v>1200000</v>
      </c>
      <c r="C22" s="10">
        <f t="shared" si="0"/>
        <v>1320000</v>
      </c>
    </row>
    <row r="23" spans="1:3" ht="16.5">
      <c r="A23" s="19" t="s">
        <v>66</v>
      </c>
      <c r="B23" s="18">
        <v>210000</v>
      </c>
      <c r="C23" s="18">
        <f t="shared" si="0"/>
        <v>231000.00000000003</v>
      </c>
    </row>
    <row r="24" spans="1:3" ht="16.5">
      <c r="A24" s="19" t="s">
        <v>67</v>
      </c>
      <c r="B24" s="18">
        <v>40000</v>
      </c>
      <c r="C24" s="18">
        <f t="shared" si="0"/>
        <v>44000</v>
      </c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zoomScaleNormal="100" workbookViewId="0"/>
  </sheetViews>
  <sheetFormatPr defaultColWidth="8.7109375" defaultRowHeight="15"/>
  <cols>
    <col min="1" max="1" width="60" customWidth="1"/>
    <col min="2" max="2" width="14" customWidth="1"/>
  </cols>
  <sheetData>
    <row r="1" spans="1:2" ht="21.75" customHeight="1">
      <c r="A1" s="1" t="s">
        <v>11</v>
      </c>
      <c r="B1" s="1" t="s">
        <v>13</v>
      </c>
    </row>
    <row r="2" spans="1:2">
      <c r="A2" s="2" t="s">
        <v>21</v>
      </c>
      <c r="B2" s="3">
        <v>500000</v>
      </c>
    </row>
    <row r="3" spans="1:2">
      <c r="A3" s="2" t="s">
        <v>22</v>
      </c>
      <c r="B3" s="3">
        <v>50000</v>
      </c>
    </row>
    <row r="4" spans="1:2">
      <c r="A4" s="2" t="s">
        <v>23</v>
      </c>
      <c r="B4" s="3">
        <v>40000</v>
      </c>
    </row>
    <row r="5" spans="1:2">
      <c r="A5" s="2" t="s">
        <v>24</v>
      </c>
      <c r="B5" s="3">
        <v>40000</v>
      </c>
    </row>
    <row r="6" spans="1:2">
      <c r="A6" s="4" t="s">
        <v>25</v>
      </c>
      <c r="B6" s="3">
        <v>20000</v>
      </c>
    </row>
    <row r="7" spans="1:2">
      <c r="A7" s="2" t="s">
        <v>26</v>
      </c>
      <c r="B7" s="3">
        <v>70000</v>
      </c>
    </row>
    <row r="8" spans="1:2">
      <c r="A8" s="2" t="s">
        <v>27</v>
      </c>
      <c r="B8" s="3">
        <v>30000</v>
      </c>
    </row>
    <row r="9" spans="1:2">
      <c r="A9" s="2" t="s">
        <v>28</v>
      </c>
      <c r="B9" s="3">
        <v>35000</v>
      </c>
    </row>
    <row r="10" spans="1:2">
      <c r="A10" s="2" t="s">
        <v>29</v>
      </c>
      <c r="B10" s="3">
        <v>230000</v>
      </c>
    </row>
    <row r="11" spans="1:2">
      <c r="A11" s="2" t="s">
        <v>30</v>
      </c>
      <c r="B11" s="3">
        <v>1230000</v>
      </c>
    </row>
    <row r="12" spans="1:2">
      <c r="A12" s="2" t="s">
        <v>31</v>
      </c>
      <c r="B12" s="3">
        <v>440000</v>
      </c>
    </row>
    <row r="13" spans="1:2">
      <c r="A13" s="2" t="s">
        <v>32</v>
      </c>
      <c r="B13" s="3">
        <v>70000</v>
      </c>
    </row>
    <row r="14" spans="1:2">
      <c r="A14" s="4" t="s">
        <v>33</v>
      </c>
      <c r="B14" s="3">
        <v>180000</v>
      </c>
    </row>
    <row r="15" spans="1:2">
      <c r="A15" s="4" t="s">
        <v>34</v>
      </c>
      <c r="B15" s="3">
        <v>210000</v>
      </c>
    </row>
    <row r="16" spans="1:2">
      <c r="A16" s="4" t="s">
        <v>35</v>
      </c>
      <c r="B16" s="3">
        <v>10000</v>
      </c>
    </row>
    <row r="17" spans="1:2">
      <c r="A17" s="4" t="s">
        <v>36</v>
      </c>
      <c r="B17" s="3">
        <v>10000</v>
      </c>
    </row>
    <row r="18" spans="1:2">
      <c r="A18" s="2" t="s">
        <v>37</v>
      </c>
      <c r="B18" s="3">
        <v>2000</v>
      </c>
    </row>
    <row r="19" spans="1:2" ht="15" customHeight="1">
      <c r="A19" s="5" t="s">
        <v>38</v>
      </c>
      <c r="B19" s="3">
        <v>90000</v>
      </c>
    </row>
  </sheetData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견적서</vt:lpstr>
      <vt:lpstr>품목별 구매단가</vt:lpstr>
      <vt:lpstr>품목목록</vt:lpstr>
      <vt:lpstr>견적서!Print_Area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현우 김</cp:lastModifiedBy>
  <cp:revision>0</cp:revision>
  <cp:lastPrinted>2026-08-04T10:57:21Z</cp:lastPrinted>
  <dcterms:created xsi:type="dcterms:W3CDTF">2026-04-19T06:38:16Z</dcterms:created>
  <dcterms:modified xsi:type="dcterms:W3CDTF">2026-09-28T09:52:48Z</dcterms:modified>
  <dc:language>en-US</dc:language>
</cp:coreProperties>
</file>